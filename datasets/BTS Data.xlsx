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24226"/>
  <mc:AlternateContent xmlns:mc="http://schemas.openxmlformats.org/markup-compatibility/2006">
    <mc:Choice Requires="x15">
      <x15ac:absPath xmlns:x15ac="http://schemas.microsoft.com/office/spreadsheetml/2010/11/ac" url="/Users/bellasmylie/Downloads/"/>
    </mc:Choice>
  </mc:AlternateContent>
  <xr:revisionPtr revIDLastSave="0" documentId="8_{45668B83-27CE-544A-AE9C-279E15564D3B}" xr6:coauthVersionLast="47" xr6:coauthVersionMax="47" xr10:uidLastSave="{00000000-0000-0000-0000-000000000000}"/>
  <bookViews>
    <workbookView xWindow="0" yWindow="740" windowWidth="29040" windowHeight="17400" activeTab="1" xr2:uid="{00000000-000D-0000-FFFF-FFFF00000000}"/>
  </bookViews>
  <sheets>
    <sheet name="Graph" sheetId="11" r:id="rId1"/>
    <sheet name="1-19" sheetId="4" r:id="rId2"/>
    <sheet name="1-19(old)" sheetId="1" state="hidden" r:id="rId3"/>
    <sheet name="working(o)" sheetId="3" state="hidden" r:id="rId4"/>
    <sheet name="PC"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P3" i="1"/>
  <c r="O3" i="1"/>
  <c r="N3" i="1"/>
  <c r="M3" i="1"/>
  <c r="L3" i="1"/>
  <c r="K3" i="1"/>
  <c r="J3" i="1"/>
  <c r="I3" i="1"/>
  <c r="H3" i="1"/>
  <c r="G3" i="1"/>
  <c r="F3" i="1"/>
  <c r="E3" i="1"/>
  <c r="D3" i="1"/>
  <c r="C3" i="1"/>
  <c r="B3" i="1"/>
  <c r="C8" i="3"/>
  <c r="D8" i="3"/>
  <c r="E8" i="3"/>
  <c r="F8" i="3"/>
  <c r="G8" i="3"/>
  <c r="H8" i="3"/>
  <c r="I8" i="3"/>
  <c r="J8" i="3"/>
  <c r="K8" i="3"/>
  <c r="L8" i="3"/>
  <c r="M8" i="3"/>
  <c r="N8" i="3"/>
  <c r="O8" i="3"/>
  <c r="P8" i="3"/>
  <c r="Q8" i="3"/>
  <c r="C9" i="3"/>
  <c r="D9" i="3"/>
  <c r="E9" i="3"/>
  <c r="F9" i="3"/>
  <c r="G9" i="3"/>
  <c r="H9" i="3"/>
  <c r="I9" i="3"/>
  <c r="J9" i="3"/>
  <c r="K9" i="3"/>
  <c r="L9" i="3"/>
  <c r="M9" i="3"/>
  <c r="N9" i="3"/>
  <c r="O9" i="3"/>
  <c r="P9" i="3"/>
  <c r="Q9" i="3"/>
  <c r="B8" i="3"/>
  <c r="B9" i="3"/>
  <c r="M3" i="3"/>
  <c r="N3" i="3"/>
  <c r="O3" i="3"/>
  <c r="P3" i="3"/>
  <c r="P7" i="3" s="1"/>
  <c r="Q3" i="3"/>
  <c r="Q7" i="3" s="1"/>
  <c r="AG3" i="3"/>
  <c r="AF3" i="3"/>
  <c r="AE3" i="3"/>
  <c r="AD3" i="3"/>
  <c r="AC3" i="3"/>
  <c r="AB3" i="3"/>
  <c r="AA3" i="3"/>
  <c r="Z3" i="3"/>
  <c r="Y3" i="3"/>
  <c r="X3" i="3"/>
  <c r="W3" i="3"/>
  <c r="V3" i="3"/>
  <c r="U3" i="3"/>
  <c r="T3" i="3"/>
  <c r="L3" i="3"/>
  <c r="L7" i="3" s="1"/>
  <c r="K3" i="3"/>
  <c r="J3" i="3"/>
  <c r="I3" i="3"/>
  <c r="H3" i="3"/>
  <c r="H7" i="3" s="1"/>
  <c r="G3" i="3"/>
  <c r="F3" i="3"/>
  <c r="E3" i="3"/>
  <c r="D3" i="3"/>
  <c r="D7" i="3" s="1"/>
  <c r="C3" i="3"/>
  <c r="B3" i="3"/>
  <c r="I7" i="3" l="1"/>
  <c r="E7" i="3"/>
  <c r="M7" i="3"/>
  <c r="O7" i="3"/>
  <c r="F7" i="3"/>
  <c r="B7" i="3"/>
  <c r="J7" i="3"/>
  <c r="N7" i="3"/>
  <c r="C7" i="3"/>
  <c r="G7" i="3"/>
  <c r="K7" i="3"/>
</calcChain>
</file>

<file path=xl/sharedStrings.xml><?xml version="1.0" encoding="utf-8"?>
<sst xmlns="http://schemas.openxmlformats.org/spreadsheetml/2006/main" count="75" uniqueCount="42">
  <si>
    <t>Table 1-19:  Hybrid-Electric, Plug-in Hybrid-Electric, and Electric Vehicle Sales</t>
  </si>
  <si>
    <t>(R) 2023</t>
  </si>
  <si>
    <t>Hybrid electric</t>
  </si>
  <si>
    <t>Plug-in hybrid-electric</t>
  </si>
  <si>
    <t>Z</t>
  </si>
  <si>
    <t>Electric</t>
  </si>
  <si>
    <r>
      <rPr>
        <b/>
        <sz val="9"/>
        <rFont val="Arial"/>
        <family val="2"/>
      </rPr>
      <t>KEY:</t>
    </r>
    <r>
      <rPr>
        <sz val="9"/>
        <rFont val="Arial"/>
        <family val="2"/>
      </rPr>
      <t xml:space="preserve"> R = revised; Z = a value of zero, or value too small to report.</t>
    </r>
  </si>
  <si>
    <t>NOTES</t>
  </si>
  <si>
    <t>Includes the new sales of light duty vehicles certified for highway use including hybrid-electric vehicles (HEV), plug-in hybrid-electric vehicles (PHEV), and electric vehicles (EV). Plug-in hybrid electric vehicles include plug-in hybrid and extended range EVs but do not include neighborhood electric vehicles, low speed electric vehicles, or two-wheeled electric vehicles. A hybrid electric vehicle  is a vehicle powered by a combination of battery-electric motor(s) and an internal combustion engine.</t>
  </si>
  <si>
    <t>Hybrid vehicle sales began in 1999 and plug-in electric vehicle sales began in 2010.</t>
  </si>
  <si>
    <t>Current version of this table is not comparable with versions before 2018 because of changes in data source.</t>
  </si>
  <si>
    <t>SOURCE</t>
  </si>
  <si>
    <r>
      <t xml:space="preserve">Argonne National Laboratory, </t>
    </r>
    <r>
      <rPr>
        <i/>
        <sz val="9"/>
        <rFont val="Arial"/>
        <family val="2"/>
      </rPr>
      <t>Light Duty Electric Drive Vehicles Monthly Sales Updates</t>
    </r>
    <r>
      <rPr>
        <sz val="9"/>
        <rFont val="Arial"/>
        <family val="2"/>
      </rPr>
      <t>, available at https://www.anl.gov/esia/light-duty-electric-drive-vehicles-monthly-sales-updates as of Mar. 6, 2025.</t>
    </r>
  </si>
  <si>
    <t>Table 1-19:  Sales of Hybrid Vehicles in the United States</t>
  </si>
  <si>
    <r>
      <t>Total U.S. sales</t>
    </r>
    <r>
      <rPr>
        <b/>
        <vertAlign val="superscript"/>
        <sz val="11"/>
        <rFont val="Arial Narrow"/>
        <family val="2"/>
      </rPr>
      <t>a</t>
    </r>
    <r>
      <rPr>
        <b/>
        <sz val="11"/>
        <rFont val="Arial Narrow"/>
        <family val="2"/>
      </rPr>
      <t xml:space="preserve"> of hybrid vehicles</t>
    </r>
  </si>
  <si>
    <r>
      <t>Domestic</t>
    </r>
    <r>
      <rPr>
        <vertAlign val="superscript"/>
        <sz val="11"/>
        <rFont val="Arial Narrow"/>
        <family val="2"/>
      </rPr>
      <t>b</t>
    </r>
  </si>
  <si>
    <t>Imports</t>
  </si>
  <si>
    <r>
      <t xml:space="preserve">KEY: </t>
    </r>
    <r>
      <rPr>
        <sz val="9"/>
        <rFont val="Arial"/>
        <family val="2"/>
      </rPr>
      <t>R = revised.</t>
    </r>
  </si>
  <si>
    <r>
      <rPr>
        <vertAlign val="superscript"/>
        <sz val="9"/>
        <rFont val="Arial"/>
        <family val="2"/>
      </rPr>
      <t>a</t>
    </r>
    <r>
      <rPr>
        <sz val="9"/>
        <rFont val="Arial"/>
        <family val="2"/>
      </rPr>
      <t xml:space="preserve"> </t>
    </r>
    <r>
      <rPr>
        <i/>
        <sz val="9"/>
        <rFont val="Arial"/>
        <family val="2"/>
      </rPr>
      <t>Sales</t>
    </r>
    <r>
      <rPr>
        <sz val="9"/>
        <rFont val="Arial"/>
        <family val="2"/>
      </rPr>
      <t xml:space="preserve"> includes leased vehicles and fleet sales.</t>
    </r>
  </si>
  <si>
    <r>
      <rPr>
        <vertAlign val="superscript"/>
        <sz val="9"/>
        <rFont val="Arial"/>
        <family val="2"/>
      </rPr>
      <t>b</t>
    </r>
    <r>
      <rPr>
        <sz val="9"/>
        <rFont val="Arial"/>
        <family val="2"/>
      </rPr>
      <t xml:space="preserve"> Includes cars produced in Canada and Mexico.</t>
    </r>
  </si>
  <si>
    <r>
      <t xml:space="preserve">The first domestic hybrid vehicle was not introduced in the U.S. market until 2004. A </t>
    </r>
    <r>
      <rPr>
        <i/>
        <sz val="9"/>
        <rFont val="Arial"/>
        <family val="2"/>
      </rPr>
      <t>hybrid vehicle</t>
    </r>
    <r>
      <rPr>
        <sz val="9"/>
        <rFont val="Arial"/>
        <family val="2"/>
      </rPr>
      <t xml:space="preserve"> is a vehicle powered by a combination of battery-electric motor(s) and an internal combustion engine.</t>
    </r>
  </si>
  <si>
    <t>WardsAuto.com, Ward's Automotive Group, personal communications, Jan. 18, 2012, Jan. 23, 2013, and Feb. 25, 2015</t>
  </si>
  <si>
    <r>
      <t>From:</t>
    </r>
    <r>
      <rPr>
        <sz val="10"/>
        <color theme="1"/>
        <rFont val="Tahoma"/>
        <family val="2"/>
      </rPr>
      <t xml:space="preserve"> Zajac, Paul [mailto:pzajac@wardsauto.com]</t>
    </r>
  </si>
  <si>
    <r>
      <t>Sent:</t>
    </r>
    <r>
      <rPr>
        <sz val="10"/>
        <color theme="1"/>
        <rFont val="Tahoma"/>
        <family val="2"/>
      </rPr>
      <t xml:space="preserve"> Wednesday, February 25, 2015 10:59 AM</t>
    </r>
  </si>
  <si>
    <r>
      <t>To:</t>
    </r>
    <r>
      <rPr>
        <sz val="10"/>
        <color theme="1"/>
        <rFont val="Tahoma"/>
        <family val="2"/>
      </rPr>
      <t xml:space="preserve"> Zhang, Jie (OST)</t>
    </r>
  </si>
  <si>
    <r>
      <t>Subject:</t>
    </r>
    <r>
      <rPr>
        <sz val="10"/>
        <color theme="1"/>
        <rFont val="Tahoma"/>
        <family val="2"/>
      </rPr>
      <t xml:space="preserve"> RE: data request</t>
    </r>
  </si>
  <si>
    <t>Dear Jie,</t>
  </si>
  <si>
    <t>The following are revised figures through 2014.</t>
  </si>
  <si>
    <t>Best,</t>
  </si>
  <si>
    <t>Paul</t>
  </si>
  <si>
    <t>Source</t>
  </si>
  <si>
    <t>Domestic</t>
  </si>
  <si>
    <t>Import</t>
  </si>
  <si>
    <t>GRAND TOTAL</t>
  </si>
  <si>
    <t>WardsAuto US Hybrid Sales</t>
  </si>
  <si>
    <t>2008</t>
  </si>
  <si>
    <t>2009</t>
  </si>
  <si>
    <t>2010</t>
  </si>
  <si>
    <t>2011</t>
  </si>
  <si>
    <t>2012</t>
  </si>
  <si>
    <t xml:space="preserve">Source: WardsAuto InfoBank  </t>
  </si>
  <si>
    <t xml:space="preserve">© Copyright 2013, WardsAuto Group, a division of Penton Media Inc. For client's internal use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</si>
</sst>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
    <numFmt numFmtId="165" formatCode="\(\R\)\ ###0"/>
    <numFmt numFmtId="166" formatCode="General\(\R\)"/>
  </numFmts>
  <fonts count="22">
    <font>
      <sz val="11"/>
      <color theme="1"/>
      <name val="Calibri"/>
      <family val="2"/>
      <scheme val="minor"/>
    </font>
    <font>
      <b/>
      <sz val="12"/>
      <name val="Arial"/>
      <family val="2"/>
    </font>
    <font>
      <sz val="11"/>
      <name val="Arial Narrow"/>
      <family val="2"/>
    </font>
    <font>
      <b/>
      <sz val="11"/>
      <name val="Arial Narrow"/>
      <family val="2"/>
    </font>
    <font>
      <b/>
      <vertAlign val="superscript"/>
      <sz val="11"/>
      <name val="Arial Narrow"/>
      <family val="2"/>
    </font>
    <font>
      <vertAlign val="superscript"/>
      <sz val="11"/>
      <name val="Arial Narrow"/>
      <family val="2"/>
    </font>
    <font>
      <sz val="9"/>
      <name val="Arial"/>
      <family val="2"/>
    </font>
    <font>
      <vertAlign val="superscript"/>
      <sz val="9"/>
      <name val="Arial"/>
      <family val="2"/>
    </font>
    <font>
      <i/>
      <sz val="9"/>
      <name val="Arial"/>
      <family val="2"/>
    </font>
    <font>
      <b/>
      <sz val="9"/>
      <name val="Arial"/>
      <family val="2"/>
    </font>
    <font>
      <b/>
      <sz val="14"/>
      <name val="Arial"/>
      <family val="2"/>
    </font>
    <font>
      <b/>
      <sz val="10"/>
      <name val="Arial"/>
      <family val="2"/>
    </font>
    <font>
      <sz val="10"/>
      <name val="Arial"/>
      <family val="2"/>
    </font>
    <font>
      <sz val="8"/>
      <name val="Arial"/>
      <family val="2"/>
    </font>
    <font>
      <b/>
      <sz val="9"/>
      <name val="Helv"/>
    </font>
    <font>
      <sz val="11"/>
      <name val="Calibri"/>
      <family val="2"/>
      <scheme val="minor"/>
    </font>
    <font>
      <b/>
      <sz val="10"/>
      <color theme="1"/>
      <name val="Tahoma"/>
      <family val="2"/>
    </font>
    <font>
      <sz val="10"/>
      <color theme="1"/>
      <name val="Tahoma"/>
      <family val="2"/>
    </font>
    <font>
      <sz val="11"/>
      <color rgb="FF1F497D"/>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right/>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7">
    <xf numFmtId="0" fontId="0" fillId="0" borderId="0"/>
    <xf numFmtId="0" fontId="14" fillId="0" borderId="1">
      <alignment horizontal="left"/>
    </xf>
    <xf numFmtId="43" fontId="12" fillId="0" borderId="0" applyFont="0" applyFill="0" applyBorder="0" applyAlignment="0" applyProtection="0"/>
    <xf numFmtId="0" fontId="12" fillId="0" borderId="0"/>
    <xf numFmtId="0" fontId="20" fillId="0" borderId="0"/>
    <xf numFmtId="9" fontId="20" fillId="0" borderId="0" applyFont="0" applyFill="0" applyBorder="0" applyAlignment="0" applyProtection="0"/>
    <xf numFmtId="0" fontId="12" fillId="0" borderId="0"/>
  </cellStyleXfs>
  <cellXfs count="53">
    <xf numFmtId="0" fontId="0" fillId="0" borderId="0" xfId="0"/>
    <xf numFmtId="0" fontId="15" fillId="0" borderId="0" xfId="0" applyFont="1"/>
    <xf numFmtId="0" fontId="2" fillId="0" borderId="2" xfId="0" applyFont="1" applyBorder="1"/>
    <xf numFmtId="0" fontId="3" fillId="0" borderId="2" xfId="0" applyFont="1" applyBorder="1" applyAlignment="1">
      <alignment horizontal="center"/>
    </xf>
    <xf numFmtId="0" fontId="3" fillId="0" borderId="3" xfId="0" applyFont="1" applyBorder="1"/>
    <xf numFmtId="3" fontId="3" fillId="0" borderId="3" xfId="0" applyNumberFormat="1" applyFont="1" applyBorder="1"/>
    <xf numFmtId="0" fontId="2" fillId="0" borderId="0" xfId="0" applyFont="1"/>
    <xf numFmtId="3" fontId="2" fillId="0" borderId="0" xfId="0" applyNumberFormat="1" applyFont="1"/>
    <xf numFmtId="3" fontId="2" fillId="0" borderId="2" xfId="0" applyNumberFormat="1" applyFont="1" applyBorder="1"/>
    <xf numFmtId="164" fontId="10" fillId="0" borderId="0" xfId="0" applyNumberFormat="1" applyFont="1"/>
    <xf numFmtId="164" fontId="11" fillId="0" borderId="0" xfId="0" applyNumberFormat="1" applyFont="1"/>
    <xf numFmtId="0" fontId="12" fillId="0" borderId="0" xfId="0" applyFont="1"/>
    <xf numFmtId="164" fontId="12" fillId="0" borderId="0" xfId="0" applyNumberFormat="1" applyFont="1"/>
    <xf numFmtId="164" fontId="11" fillId="0" borderId="0" xfId="0" quotePrefix="1" applyNumberFormat="1" applyFont="1" applyAlignment="1">
      <alignment horizontal="right"/>
    </xf>
    <xf numFmtId="0" fontId="11" fillId="0" borderId="0" xfId="0" applyFont="1"/>
    <xf numFmtId="0" fontId="13" fillId="0" borderId="0" xfId="0" applyFont="1"/>
    <xf numFmtId="3" fontId="15" fillId="0" borderId="0" xfId="0" applyNumberFormat="1" applyFont="1"/>
    <xf numFmtId="3" fontId="3" fillId="2" borderId="3" xfId="0" applyNumberFormat="1" applyFont="1" applyFill="1" applyBorder="1"/>
    <xf numFmtId="3" fontId="2" fillId="2" borderId="0" xfId="0" applyNumberFormat="1" applyFont="1" applyFill="1"/>
    <xf numFmtId="3" fontId="2" fillId="2" borderId="2" xfId="0" applyNumberFormat="1" applyFont="1" applyFill="1" applyBorder="1"/>
    <xf numFmtId="0" fontId="3" fillId="2" borderId="2" xfId="0" applyFont="1" applyFill="1" applyBorder="1" applyAlignment="1">
      <alignment horizontal="center"/>
    </xf>
    <xf numFmtId="0" fontId="16" fillId="0" borderId="0" xfId="0" applyFont="1" applyAlignment="1">
      <alignment vertical="center"/>
    </xf>
    <xf numFmtId="0" fontId="0" fillId="0" borderId="0" xfId="0" applyAlignment="1">
      <alignmen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right" vertical="center"/>
    </xf>
    <xf numFmtId="0" fontId="20" fillId="0" borderId="0" xfId="0" applyFont="1" applyAlignment="1">
      <alignment vertical="center"/>
    </xf>
    <xf numFmtId="3" fontId="20" fillId="0" borderId="0" xfId="0" applyNumberFormat="1" applyFont="1" applyAlignment="1">
      <alignment horizontal="right" vertical="center"/>
    </xf>
    <xf numFmtId="3" fontId="19" fillId="0" borderId="0" xfId="0" applyNumberFormat="1" applyFont="1" applyAlignment="1">
      <alignment horizontal="right" vertical="center"/>
    </xf>
    <xf numFmtId="165" fontId="3" fillId="0" borderId="2" xfId="0" applyNumberFormat="1" applyFont="1" applyBorder="1" applyAlignment="1">
      <alignment horizontal="center"/>
    </xf>
    <xf numFmtId="0" fontId="15" fillId="2" borderId="0" xfId="0" applyFont="1" applyFill="1"/>
    <xf numFmtId="166" fontId="3" fillId="2" borderId="2" xfId="0" applyNumberFormat="1" applyFont="1" applyFill="1" applyBorder="1" applyAlignment="1">
      <alignment horizontal="center"/>
    </xf>
    <xf numFmtId="3" fontId="2" fillId="0" borderId="0" xfId="0" applyNumberFormat="1" applyFont="1" applyAlignment="1">
      <alignment horizontal="center"/>
    </xf>
    <xf numFmtId="3" fontId="2" fillId="0" borderId="5" xfId="0" applyNumberFormat="1" applyFont="1" applyBorder="1"/>
    <xf numFmtId="3" fontId="2" fillId="2" borderId="5" xfId="0" applyNumberFormat="1" applyFont="1" applyFill="1" applyBorder="1"/>
    <xf numFmtId="0" fontId="2" fillId="0" borderId="6" xfId="0" applyFont="1" applyBorder="1"/>
    <xf numFmtId="0" fontId="3" fillId="0" borderId="6" xfId="0" applyFont="1" applyBorder="1" applyAlignment="1">
      <alignment horizontal="center"/>
    </xf>
    <xf numFmtId="0" fontId="3" fillId="0" borderId="0" xfId="0" applyFont="1" applyAlignment="1">
      <alignment horizontal="left" wrapText="1"/>
    </xf>
    <xf numFmtId="3" fontId="2" fillId="0" borderId="0" xfId="0" applyNumberFormat="1" applyFont="1" applyAlignment="1">
      <alignment horizontal="right" wrapText="1"/>
    </xf>
    <xf numFmtId="0" fontId="3" fillId="0" borderId="5" xfId="0" applyFont="1" applyBorder="1" applyAlignment="1">
      <alignment horizontal="left" wrapText="1"/>
    </xf>
    <xf numFmtId="3" fontId="2" fillId="0" borderId="5" xfId="0" applyNumberFormat="1" applyFont="1" applyBorder="1" applyAlignment="1">
      <alignment horizontal="right" wrapText="1"/>
    </xf>
    <xf numFmtId="0" fontId="1" fillId="0" borderId="5" xfId="0" applyFont="1" applyBorder="1" applyAlignment="1">
      <alignment wrapText="1"/>
    </xf>
    <xf numFmtId="0" fontId="9" fillId="0" borderId="0" xfId="0" applyFont="1" applyAlignment="1">
      <alignment wrapText="1"/>
    </xf>
    <xf numFmtId="0" fontId="6" fillId="0" borderId="0" xfId="0" applyFont="1" applyAlignment="1">
      <alignment wrapText="1"/>
    </xf>
    <xf numFmtId="0" fontId="6" fillId="0" borderId="4" xfId="0" applyFont="1" applyBorder="1" applyAlignment="1">
      <alignment horizontal="left" wrapText="1"/>
    </xf>
    <xf numFmtId="0" fontId="9" fillId="0" borderId="0" xfId="0" applyFont="1" applyAlignment="1">
      <alignment wrapText="1" readingOrder="1"/>
    </xf>
    <xf numFmtId="0" fontId="6" fillId="0" borderId="0" xfId="0" applyFont="1" applyAlignment="1">
      <alignment horizontal="center" wrapText="1"/>
    </xf>
    <xf numFmtId="0" fontId="6" fillId="0" borderId="0" xfId="0" applyFont="1" applyAlignment="1">
      <alignment horizontal="left" wrapText="1"/>
    </xf>
    <xf numFmtId="3" fontId="9" fillId="0" borderId="4" xfId="1" applyNumberFormat="1" applyFont="1" applyBorder="1" applyAlignment="1">
      <alignment vertical="center" wrapText="1"/>
    </xf>
    <xf numFmtId="0" fontId="6" fillId="0" borderId="4" xfId="0" applyFont="1" applyBorder="1" applyAlignment="1">
      <alignment vertical="center" wrapText="1"/>
    </xf>
    <xf numFmtId="0" fontId="15" fillId="0" borderId="0" xfId="0" applyFont="1" applyAlignment="1">
      <alignment wrapText="1"/>
    </xf>
    <xf numFmtId="0" fontId="1" fillId="0" borderId="5" xfId="0" applyFont="1" applyBorder="1" applyAlignment="1">
      <alignment horizontal="left" wrapText="1"/>
    </xf>
    <xf numFmtId="0" fontId="1" fillId="0" borderId="5" xfId="0" applyFont="1" applyBorder="1" applyAlignment="1">
      <alignment horizontal="left"/>
    </xf>
  </cellXfs>
  <cellStyles count="7">
    <cellStyle name="Comma 2" xfId="2" xr:uid="{00000000-0005-0000-0000-000000000000}"/>
    <cellStyle name="Hed Side" xfId="1" xr:uid="{00000000-0005-0000-0000-000001000000}"/>
    <cellStyle name="Normal" xfId="0" builtinId="0"/>
    <cellStyle name="Normal 2" xfId="4" xr:uid="{00000000-0005-0000-0000-000004000000}"/>
    <cellStyle name="Normal 2 3" xfId="6" xr:uid="{527C2C96-290F-4A3D-9F03-72D4657D1866}"/>
    <cellStyle name="Normal 4" xfId="3" xr:uid="{00000000-0005-0000-0000-000005000000}"/>
    <cellStyle name="Percent 2"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Hybrid-Electric, Plug-in Hybrid-Electric, and Electric Vehicle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'1-19'!$A$3</c:f>
              <c:strCache>
                <c:ptCount val="1"/>
                <c:pt idx="0">
                  <c:v>Hybrid electric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extLst>
                <c:ext xmlns:c15="http://schemas.microsoft.com/office/drawing/2012/chart" uri="{02D57815-91ED-43cb-92C2-25804820EDAC}">
                  <c15:fullRef>
                    <c15:sqref>'1-19'!$B$2:$Z$2</c15:sqref>
                  </c15:fullRef>
                </c:ext>
              </c:extLst>
              <c:f>'1-19'!$L$2:$Z$2</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(R) 2023</c:v>
                </c:pt>
                <c:pt idx="14">
                  <c:v>2024</c:v>
                </c:pt>
              </c:strCache>
            </c:strRef>
          </c:cat>
          <c:val>
            <c:numRef>
              <c:extLst>
                <c:ext xmlns:c15="http://schemas.microsoft.com/office/drawing/2012/chart" uri="{02D57815-91ED-43cb-92C2-25804820EDAC}">
                  <c15:fullRef>
                    <c15:sqref>'1-19'!$B$3:$Z$3</c15:sqref>
                  </c15:fullRef>
                </c:ext>
              </c:extLst>
              <c:f>'1-19'!$L$3:$Z$3</c:f>
              <c:numCache>
                <c:formatCode>#,##0</c:formatCode>
                <c:ptCount val="15"/>
                <c:pt idx="0">
                  <c:v>274648</c:v>
                </c:pt>
                <c:pt idx="1">
                  <c:v>268749</c:v>
                </c:pt>
                <c:pt idx="2">
                  <c:v>434648</c:v>
                </c:pt>
                <c:pt idx="3">
                  <c:v>495535</c:v>
                </c:pt>
                <c:pt idx="4">
                  <c:v>452172</c:v>
                </c:pt>
                <c:pt idx="5">
                  <c:v>384400</c:v>
                </c:pt>
                <c:pt idx="6">
                  <c:v>346949</c:v>
                </c:pt>
                <c:pt idx="7">
                  <c:v>370680</c:v>
                </c:pt>
                <c:pt idx="8">
                  <c:v>338149</c:v>
                </c:pt>
                <c:pt idx="9">
                  <c:v>399444</c:v>
                </c:pt>
                <c:pt idx="10">
                  <c:v>455067</c:v>
                </c:pt>
                <c:pt idx="11">
                  <c:v>799046</c:v>
                </c:pt>
                <c:pt idx="12">
                  <c:v>766412</c:v>
                </c:pt>
                <c:pt idx="13">
                  <c:v>1175456</c:v>
                </c:pt>
                <c:pt idx="14">
                  <c:v>1609035</c:v>
                </c:pt>
              </c:numCache>
            </c:numRef>
          </c:val>
          <c:extLst>
            <c:ext xmlns:c16="http://schemas.microsoft.com/office/drawing/2014/chart" uri="{C3380CC4-5D6E-409C-BE32-E72D297353CC}">
              <c16:uniqueId val="{00000000-242B-43FC-ABB4-5104BD92DBDB}"/>
            </c:ext>
          </c:extLst>
        </c:ser>
        <c:ser>
          <c:idx val="1"/>
          <c:order val="1"/>
          <c:tx>
            <c:strRef>
              <c:f>'1-19'!$A$4</c:f>
              <c:strCache>
                <c:ptCount val="1"/>
                <c:pt idx="0">
                  <c:v>Plug-in hybrid-electric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extLst>
                <c:ext xmlns:c15="http://schemas.microsoft.com/office/drawing/2012/chart" uri="{02D57815-91ED-43cb-92C2-25804820EDAC}">
                  <c15:fullRef>
                    <c15:sqref>'1-19'!$B$2:$Z$2</c15:sqref>
                  </c15:fullRef>
                </c:ext>
              </c:extLst>
              <c:f>'1-19'!$L$2:$Z$2</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(R) 2023</c:v>
                </c:pt>
                <c:pt idx="14">
                  <c:v>2024</c:v>
                </c:pt>
              </c:strCache>
            </c:strRef>
          </c:cat>
          <c:val>
            <c:numRef>
              <c:extLst>
                <c:ext xmlns:c15="http://schemas.microsoft.com/office/drawing/2012/chart" uri="{02D57815-91ED-43cb-92C2-25804820EDAC}">
                  <c15:fullRef>
                    <c15:sqref>'1-19'!$B$4:$Z$4</c15:sqref>
                  </c15:fullRef>
                </c:ext>
              </c:extLst>
              <c:f>'1-19'!$L$4:$Z$4</c:f>
              <c:numCache>
                <c:formatCode>#,##0</c:formatCode>
                <c:ptCount val="15"/>
                <c:pt idx="0">
                  <c:v>326</c:v>
                </c:pt>
                <c:pt idx="1">
                  <c:v>7671</c:v>
                </c:pt>
                <c:pt idx="2">
                  <c:v>38584</c:v>
                </c:pt>
                <c:pt idx="3">
                  <c:v>49008</c:v>
                </c:pt>
                <c:pt idx="4">
                  <c:v>55357</c:v>
                </c:pt>
                <c:pt idx="5">
                  <c:v>43008</c:v>
                </c:pt>
                <c:pt idx="6">
                  <c:v>72885</c:v>
                </c:pt>
                <c:pt idx="7">
                  <c:v>91188</c:v>
                </c:pt>
                <c:pt idx="8">
                  <c:v>123883</c:v>
                </c:pt>
                <c:pt idx="9">
                  <c:v>85791</c:v>
                </c:pt>
                <c:pt idx="10">
                  <c:v>69049</c:v>
                </c:pt>
                <c:pt idx="11">
                  <c:v>176117</c:v>
                </c:pt>
                <c:pt idx="12">
                  <c:v>183411</c:v>
                </c:pt>
                <c:pt idx="13">
                  <c:v>293578</c:v>
                </c:pt>
                <c:pt idx="14">
                  <c:v>321774</c:v>
                </c:pt>
              </c:numCache>
            </c:numRef>
          </c:val>
          <c:extLst>
            <c:ext xmlns:c16="http://schemas.microsoft.com/office/drawing/2014/chart" uri="{C3380CC4-5D6E-409C-BE32-E72D297353CC}">
              <c16:uniqueId val="{00000001-242B-43FC-ABB4-5104BD92DBDB}"/>
            </c:ext>
          </c:extLst>
        </c:ser>
        <c:ser>
          <c:idx val="2"/>
          <c:order val="2"/>
          <c:tx>
            <c:strRef>
              <c:f>'1-19'!$A$5</c:f>
              <c:strCache>
                <c:ptCount val="1"/>
                <c:pt idx="0">
                  <c:v>Electric</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extLst>
                <c:ext xmlns:c15="http://schemas.microsoft.com/office/drawing/2012/chart" uri="{02D57815-91ED-43cb-92C2-25804820EDAC}">
                  <c15:fullRef>
                    <c15:sqref>'1-19'!$B$2:$Z$2</c15:sqref>
                  </c15:fullRef>
                </c:ext>
              </c:extLst>
              <c:f>'1-19'!$L$2:$Z$2</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(R) 2023</c:v>
                </c:pt>
                <c:pt idx="14">
                  <c:v>2024</c:v>
                </c:pt>
              </c:strCache>
            </c:strRef>
          </c:cat>
          <c:val>
            <c:numRef>
              <c:extLst>
                <c:ext xmlns:c15="http://schemas.microsoft.com/office/drawing/2012/chart" uri="{02D57815-91ED-43cb-92C2-25804820EDAC}">
                  <c15:fullRef>
                    <c15:sqref>'1-19'!$B$5:$Z$5</c15:sqref>
                  </c15:fullRef>
                </c:ext>
              </c:extLst>
              <c:f>'1-19'!$L$5:$Z$5</c:f>
              <c:numCache>
                <c:formatCode>#,##0</c:formatCode>
                <c:ptCount val="15"/>
                <c:pt idx="0">
                  <c:v>19</c:v>
                </c:pt>
                <c:pt idx="1">
                  <c:v>10092</c:v>
                </c:pt>
                <c:pt idx="2">
                  <c:v>14587</c:v>
                </c:pt>
                <c:pt idx="3">
                  <c:v>48094</c:v>
                </c:pt>
                <c:pt idx="4">
                  <c:v>63525</c:v>
                </c:pt>
                <c:pt idx="5">
                  <c:v>71064</c:v>
                </c:pt>
                <c:pt idx="6">
                  <c:v>86731</c:v>
                </c:pt>
                <c:pt idx="7">
                  <c:v>104487</c:v>
                </c:pt>
                <c:pt idx="8">
                  <c:v>207062</c:v>
                </c:pt>
                <c:pt idx="9">
                  <c:v>233822</c:v>
                </c:pt>
                <c:pt idx="10">
                  <c:v>238540</c:v>
                </c:pt>
                <c:pt idx="11">
                  <c:v>459474</c:v>
                </c:pt>
                <c:pt idx="12">
                  <c:v>747982</c:v>
                </c:pt>
                <c:pt idx="13">
                  <c:v>1164638</c:v>
                </c:pt>
                <c:pt idx="14">
                  <c:v>1247656</c:v>
                </c:pt>
              </c:numCache>
            </c:numRef>
          </c:val>
          <c:extLst>
            <c:ext xmlns:c16="http://schemas.microsoft.com/office/drawing/2014/chart" uri="{C3380CC4-5D6E-409C-BE32-E72D297353CC}">
              <c16:uniqueId val="{00000002-242B-43FC-ABB4-5104BD92DBDB}"/>
            </c:ext>
          </c:extLst>
        </c:ser>
        <c:dLbls>
          <c:showLegendKey val="0"/>
          <c:showVal val="0"/>
          <c:showCatName val="0"/>
          <c:showSerName val="0"/>
          <c:showPercent val="0"/>
          <c:showBubbleSize val="0"/>
        </c:dLbls>
        <c:gapWidth val="100"/>
        <c:overlap val="-24"/>
        <c:axId val="374767576"/>
        <c:axId val="374768560"/>
      </c:barChart>
      <c:catAx>
        <c:axId val="374767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768560"/>
        <c:crosses val="autoZero"/>
        <c:auto val="1"/>
        <c:lblAlgn val="ctr"/>
        <c:lblOffset val="100"/>
        <c:noMultiLvlLbl val="0"/>
      </c:catAx>
      <c:valAx>
        <c:axId val="37476856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767576"/>
        <c:crosses val="autoZero"/>
        <c:crossBetween val="between"/>
      </c:valAx>
      <c:spPr>
        <a:noFill/>
        <a:ln>
          <a:noFill/>
        </a:ln>
        <a:effectLst/>
      </c:spPr>
    </c:plotArea>
    <c:legend>
      <c:legendPos val="t"/>
      <c:layout>
        <c:manualLayout>
          <c:xMode val="edge"/>
          <c:yMode val="edge"/>
          <c:x val="0.29445250984251969"/>
          <c:y val="9.1088190662869037E-2"/>
          <c:w val="0.40643999045573848"/>
          <c:h val="5.0562163570064253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22</xdr:row>
      <xdr:rowOff>47624</xdr:rowOff>
    </xdr:to>
    <xdr:graphicFrame macro="">
      <xdr:nvGraphicFramePr>
        <xdr:cNvPr id="2" name="Chart 1">
          <a:extLst>
            <a:ext uri="{FF2B5EF4-FFF2-40B4-BE49-F238E27FC236}">
              <a16:creationId xmlns:a16="http://schemas.microsoft.com/office/drawing/2014/main" id="{7E3AF5E5-8BAD-4061-B064-6493A2304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57151</xdr:rowOff>
    </xdr:from>
    <xdr:to>
      <xdr:col>11</xdr:col>
      <xdr:colOff>600074</xdr:colOff>
      <xdr:row>25</xdr:row>
      <xdr:rowOff>28576</xdr:rowOff>
    </xdr:to>
    <xdr:sp macro="" textlink="">
      <xdr:nvSpPr>
        <xdr:cNvPr id="3" name="TextBox 2">
          <a:extLst>
            <a:ext uri="{FF2B5EF4-FFF2-40B4-BE49-F238E27FC236}">
              <a16:creationId xmlns:a16="http://schemas.microsoft.com/office/drawing/2014/main" id="{08564F9F-0A2E-4790-B689-C59B5EDB9A61}"/>
            </a:ext>
          </a:extLst>
        </xdr:cNvPr>
        <xdr:cNvSpPr txBox="1"/>
      </xdr:nvSpPr>
      <xdr:spPr>
        <a:xfrm>
          <a:off x="0" y="3619501"/>
          <a:ext cx="7305674"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While hybrid</a:t>
          </a:r>
          <a:r>
            <a:rPr lang="en-US" sz="1100" baseline="0"/>
            <a:t> electric vehicles (HEVs) were first on the market, electric vehicles (EVs) have quickly exploded in popularity. Starting from year 2021 in particular showsa near doubling in sales for HEVs, EVs, and PHEVs.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7932-3DCB-4AE5-8FF3-95303A572518}">
  <dimension ref="A1"/>
  <sheetViews>
    <sheetView workbookViewId="0"/>
  </sheetViews>
  <sheetFormatPr baseColWidth="10" defaultColWidth="8.83203125" defaultRowHeight="12.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9.1640625" defaultRowHeight="15"/>
  <cols>
    <col min="1" max="1" width="23" style="1" customWidth="1"/>
    <col min="2" max="6" width="6.6640625" style="1" customWidth="1"/>
    <col min="7" max="24" width="7.6640625" style="1" customWidth="1"/>
    <col min="25" max="25" width="8.6640625" style="1" customWidth="1"/>
    <col min="26" max="26" width="8.83203125" style="1" bestFit="1" customWidth="1"/>
    <col min="27" max="16384" width="9.1640625" style="1"/>
  </cols>
  <sheetData>
    <row r="1" spans="1:26" ht="16.5" customHeight="1" thickBot="1">
      <c r="A1" s="41" t="s">
        <v>0</v>
      </c>
      <c r="B1" s="41"/>
      <c r="C1" s="41"/>
      <c r="D1" s="41"/>
      <c r="E1" s="41"/>
      <c r="F1" s="41"/>
      <c r="G1" s="41"/>
      <c r="H1" s="41"/>
      <c r="I1" s="41"/>
      <c r="J1" s="41"/>
      <c r="K1" s="41"/>
      <c r="L1" s="41"/>
      <c r="M1" s="41"/>
      <c r="N1" s="41"/>
      <c r="O1" s="41"/>
      <c r="P1" s="41"/>
      <c r="Q1" s="41"/>
      <c r="R1" s="41"/>
      <c r="S1" s="41"/>
      <c r="T1" s="41"/>
      <c r="U1" s="41"/>
      <c r="V1" s="41"/>
      <c r="W1" s="41"/>
      <c r="X1" s="41"/>
      <c r="Y1" s="41"/>
      <c r="Z1" s="41"/>
    </row>
    <row r="2" spans="1:26" ht="16.5" customHeight="1">
      <c r="A2" s="35"/>
      <c r="B2" s="36">
        <v>2000</v>
      </c>
      <c r="C2" s="36">
        <v>2001</v>
      </c>
      <c r="D2" s="36">
        <v>2002</v>
      </c>
      <c r="E2" s="36">
        <v>2003</v>
      </c>
      <c r="F2" s="36">
        <v>2004</v>
      </c>
      <c r="G2" s="36">
        <v>2005</v>
      </c>
      <c r="H2" s="36">
        <v>2006</v>
      </c>
      <c r="I2" s="36">
        <v>2007</v>
      </c>
      <c r="J2" s="36">
        <v>2008</v>
      </c>
      <c r="K2" s="36">
        <v>2009</v>
      </c>
      <c r="L2" s="36">
        <v>2010</v>
      </c>
      <c r="M2" s="36">
        <v>2011</v>
      </c>
      <c r="N2" s="36">
        <v>2012</v>
      </c>
      <c r="O2" s="36">
        <v>2013</v>
      </c>
      <c r="P2" s="36">
        <v>2014</v>
      </c>
      <c r="Q2" s="36">
        <v>2015</v>
      </c>
      <c r="R2" s="36">
        <v>2016</v>
      </c>
      <c r="S2" s="36">
        <v>2017</v>
      </c>
      <c r="T2" s="36">
        <v>2018</v>
      </c>
      <c r="U2" s="36">
        <v>2019</v>
      </c>
      <c r="V2" s="36">
        <v>2020</v>
      </c>
      <c r="W2" s="36">
        <v>2021</v>
      </c>
      <c r="X2" s="36">
        <v>2022</v>
      </c>
      <c r="Y2" s="36" t="s">
        <v>1</v>
      </c>
      <c r="Z2" s="36">
        <v>2024</v>
      </c>
    </row>
    <row r="3" spans="1:26" ht="16.5" customHeight="1">
      <c r="A3" s="37" t="s">
        <v>2</v>
      </c>
      <c r="B3" s="38">
        <v>9350</v>
      </c>
      <c r="C3" s="38">
        <v>20282</v>
      </c>
      <c r="D3" s="38">
        <v>36042</v>
      </c>
      <c r="E3" s="38">
        <v>47566</v>
      </c>
      <c r="F3" s="38">
        <v>84233</v>
      </c>
      <c r="G3" s="38">
        <v>205876</v>
      </c>
      <c r="H3" s="38">
        <v>251864</v>
      </c>
      <c r="I3" s="38">
        <v>351071</v>
      </c>
      <c r="J3" s="38">
        <v>315763</v>
      </c>
      <c r="K3" s="38">
        <v>290273</v>
      </c>
      <c r="L3" s="38">
        <v>274648</v>
      </c>
      <c r="M3" s="38">
        <v>268749</v>
      </c>
      <c r="N3" s="38">
        <v>434648</v>
      </c>
      <c r="O3" s="38">
        <v>495535</v>
      </c>
      <c r="P3" s="38">
        <v>452172</v>
      </c>
      <c r="Q3" s="38">
        <v>384400</v>
      </c>
      <c r="R3" s="38">
        <v>346949</v>
      </c>
      <c r="S3" s="38">
        <v>370680</v>
      </c>
      <c r="T3" s="38">
        <v>338149</v>
      </c>
      <c r="U3" s="38">
        <v>399444</v>
      </c>
      <c r="V3" s="38">
        <v>455067</v>
      </c>
      <c r="W3" s="38">
        <v>799046</v>
      </c>
      <c r="X3" s="38">
        <v>766412</v>
      </c>
      <c r="Y3" s="38">
        <v>1175456</v>
      </c>
      <c r="Z3" s="38">
        <v>1609035</v>
      </c>
    </row>
    <row r="4" spans="1:26" ht="16.5" customHeight="1">
      <c r="A4" s="37" t="s">
        <v>3</v>
      </c>
      <c r="B4" s="38" t="s">
        <v>4</v>
      </c>
      <c r="C4" s="38" t="s">
        <v>4</v>
      </c>
      <c r="D4" s="38" t="s">
        <v>4</v>
      </c>
      <c r="E4" s="38" t="s">
        <v>4</v>
      </c>
      <c r="F4" s="38" t="s">
        <v>4</v>
      </c>
      <c r="G4" s="38" t="s">
        <v>4</v>
      </c>
      <c r="H4" s="38" t="s">
        <v>4</v>
      </c>
      <c r="I4" s="38" t="s">
        <v>4</v>
      </c>
      <c r="J4" s="38" t="s">
        <v>4</v>
      </c>
      <c r="K4" s="38" t="s">
        <v>4</v>
      </c>
      <c r="L4" s="38">
        <v>326</v>
      </c>
      <c r="M4" s="38">
        <v>7671</v>
      </c>
      <c r="N4" s="38">
        <v>38584</v>
      </c>
      <c r="O4" s="38">
        <v>49008</v>
      </c>
      <c r="P4" s="38">
        <v>55357</v>
      </c>
      <c r="Q4" s="38">
        <v>43008</v>
      </c>
      <c r="R4" s="38">
        <v>72885</v>
      </c>
      <c r="S4" s="38">
        <v>91188</v>
      </c>
      <c r="T4" s="38">
        <v>123883</v>
      </c>
      <c r="U4" s="38">
        <v>85791</v>
      </c>
      <c r="V4" s="38">
        <v>69049</v>
      </c>
      <c r="W4" s="38">
        <v>176117</v>
      </c>
      <c r="X4" s="38">
        <v>183411</v>
      </c>
      <c r="Y4" s="38">
        <v>293578</v>
      </c>
      <c r="Z4" s="38">
        <v>321774</v>
      </c>
    </row>
    <row r="5" spans="1:26" ht="16.5" customHeight="1" thickBot="1">
      <c r="A5" s="39" t="s">
        <v>5</v>
      </c>
      <c r="B5" s="40" t="s">
        <v>4</v>
      </c>
      <c r="C5" s="40" t="s">
        <v>4</v>
      </c>
      <c r="D5" s="40" t="s">
        <v>4</v>
      </c>
      <c r="E5" s="40" t="s">
        <v>4</v>
      </c>
      <c r="F5" s="40" t="s">
        <v>4</v>
      </c>
      <c r="G5" s="40" t="s">
        <v>4</v>
      </c>
      <c r="H5" s="40" t="s">
        <v>4</v>
      </c>
      <c r="I5" s="40" t="s">
        <v>4</v>
      </c>
      <c r="J5" s="40" t="s">
        <v>4</v>
      </c>
      <c r="K5" s="40" t="s">
        <v>4</v>
      </c>
      <c r="L5" s="40">
        <v>19</v>
      </c>
      <c r="M5" s="40">
        <v>10092</v>
      </c>
      <c r="N5" s="40">
        <v>14587</v>
      </c>
      <c r="O5" s="40">
        <v>48094</v>
      </c>
      <c r="P5" s="40">
        <v>63525</v>
      </c>
      <c r="Q5" s="40">
        <v>71064</v>
      </c>
      <c r="R5" s="40">
        <v>86731</v>
      </c>
      <c r="S5" s="40">
        <v>104487</v>
      </c>
      <c r="T5" s="40">
        <v>207062</v>
      </c>
      <c r="U5" s="40">
        <v>233822</v>
      </c>
      <c r="V5" s="40">
        <v>238540</v>
      </c>
      <c r="W5" s="40">
        <v>459474</v>
      </c>
      <c r="X5" s="40">
        <v>747982</v>
      </c>
      <c r="Y5" s="40">
        <v>1164638</v>
      </c>
      <c r="Z5" s="40">
        <v>1247656</v>
      </c>
    </row>
    <row r="6" spans="1:26" ht="12.75" customHeight="1">
      <c r="A6" s="44" t="s">
        <v>6</v>
      </c>
      <c r="B6" s="44"/>
      <c r="C6" s="44"/>
      <c r="D6" s="44"/>
      <c r="E6" s="44"/>
      <c r="F6" s="44"/>
      <c r="G6" s="44"/>
      <c r="H6" s="44"/>
      <c r="I6" s="44"/>
      <c r="J6" s="44"/>
      <c r="K6" s="44"/>
      <c r="L6" s="44"/>
      <c r="M6" s="44"/>
      <c r="N6" s="44"/>
      <c r="O6" s="44"/>
      <c r="P6" s="44"/>
      <c r="Q6" s="44"/>
      <c r="R6" s="44"/>
      <c r="S6" s="44"/>
      <c r="T6" s="44"/>
    </row>
    <row r="7" spans="1:26" ht="12.75" customHeight="1">
      <c r="A7" s="43"/>
      <c r="B7" s="43"/>
      <c r="C7" s="43"/>
      <c r="D7" s="43"/>
      <c r="E7" s="43"/>
      <c r="F7" s="43"/>
      <c r="G7" s="43"/>
      <c r="H7" s="43"/>
      <c r="I7" s="43"/>
      <c r="J7" s="43"/>
      <c r="K7" s="43"/>
      <c r="L7" s="43"/>
      <c r="M7" s="43"/>
      <c r="N7" s="43"/>
      <c r="O7" s="43"/>
      <c r="P7" s="43"/>
      <c r="Q7" s="43"/>
      <c r="R7" s="43"/>
      <c r="S7" s="43"/>
      <c r="T7" s="43"/>
    </row>
    <row r="8" spans="1:26" ht="12.75" customHeight="1">
      <c r="A8" s="42" t="s">
        <v>7</v>
      </c>
      <c r="B8" s="42"/>
      <c r="C8" s="42"/>
      <c r="D8" s="42"/>
      <c r="E8" s="42"/>
      <c r="F8" s="42"/>
      <c r="G8" s="42"/>
      <c r="H8" s="42"/>
      <c r="I8" s="42"/>
      <c r="J8" s="42"/>
      <c r="K8" s="42"/>
      <c r="L8" s="42"/>
      <c r="M8" s="42"/>
      <c r="N8" s="42"/>
      <c r="O8" s="42"/>
      <c r="P8" s="42"/>
      <c r="Q8" s="42"/>
      <c r="R8" s="42"/>
      <c r="S8" s="42"/>
      <c r="T8" s="42"/>
    </row>
    <row r="9" spans="1:26" ht="38.25" customHeight="1">
      <c r="A9" s="47" t="s">
        <v>8</v>
      </c>
      <c r="B9" s="47"/>
      <c r="C9" s="47"/>
      <c r="D9" s="47"/>
      <c r="E9" s="47"/>
      <c r="F9" s="47"/>
      <c r="G9" s="47"/>
      <c r="H9" s="47"/>
      <c r="I9" s="47"/>
      <c r="J9" s="47"/>
      <c r="K9" s="47"/>
      <c r="L9" s="47"/>
      <c r="M9" s="47"/>
      <c r="N9" s="47"/>
      <c r="O9" s="47"/>
      <c r="P9" s="47"/>
      <c r="Q9" s="47"/>
      <c r="R9" s="47"/>
      <c r="S9" s="47"/>
      <c r="T9" s="47"/>
    </row>
    <row r="10" spans="1:26" ht="12.75" customHeight="1">
      <c r="A10" s="43" t="s">
        <v>9</v>
      </c>
      <c r="B10" s="43"/>
      <c r="C10" s="43"/>
      <c r="D10" s="43"/>
      <c r="E10" s="43"/>
      <c r="F10" s="43"/>
      <c r="G10" s="43"/>
      <c r="H10" s="43"/>
      <c r="I10" s="43"/>
      <c r="J10" s="43"/>
      <c r="K10" s="43"/>
      <c r="L10" s="43"/>
      <c r="M10" s="43"/>
      <c r="N10" s="43"/>
      <c r="O10" s="43"/>
      <c r="P10" s="43"/>
      <c r="Q10" s="43"/>
      <c r="R10" s="43"/>
      <c r="S10" s="43"/>
      <c r="T10" s="43"/>
    </row>
    <row r="11" spans="1:26" ht="12.75" customHeight="1">
      <c r="A11" s="43" t="s">
        <v>10</v>
      </c>
      <c r="B11" s="43"/>
      <c r="C11" s="43"/>
      <c r="D11" s="43"/>
      <c r="E11" s="43"/>
      <c r="F11" s="43"/>
      <c r="G11" s="43"/>
      <c r="H11" s="43"/>
      <c r="I11" s="43"/>
      <c r="J11" s="43"/>
      <c r="K11" s="43"/>
      <c r="L11" s="43"/>
      <c r="M11" s="43"/>
      <c r="N11" s="43"/>
      <c r="O11" s="43"/>
      <c r="P11" s="43"/>
      <c r="Q11" s="43"/>
      <c r="R11" s="43"/>
      <c r="S11" s="43"/>
      <c r="T11" s="43"/>
    </row>
    <row r="12" spans="1:26" ht="12.75" customHeight="1">
      <c r="A12" s="46"/>
      <c r="B12" s="46"/>
      <c r="C12" s="46"/>
      <c r="D12" s="46"/>
      <c r="E12" s="46"/>
      <c r="F12" s="46"/>
      <c r="G12" s="46"/>
      <c r="H12" s="46"/>
      <c r="I12" s="46"/>
      <c r="J12" s="46"/>
      <c r="K12" s="46"/>
      <c r="L12" s="46"/>
      <c r="M12" s="46"/>
      <c r="N12" s="46"/>
      <c r="O12" s="46"/>
      <c r="P12" s="46"/>
      <c r="Q12" s="46"/>
      <c r="R12" s="46"/>
      <c r="S12" s="46"/>
      <c r="T12" s="46"/>
    </row>
    <row r="13" spans="1:26" ht="12.75" customHeight="1">
      <c r="A13" s="45" t="s">
        <v>11</v>
      </c>
      <c r="B13" s="45"/>
      <c r="C13" s="45"/>
      <c r="D13" s="45"/>
      <c r="E13" s="45"/>
      <c r="F13" s="45"/>
      <c r="G13" s="45"/>
      <c r="H13" s="45"/>
      <c r="I13" s="45"/>
      <c r="J13" s="45"/>
      <c r="K13" s="45"/>
      <c r="L13" s="45"/>
      <c r="M13" s="45"/>
      <c r="N13" s="45"/>
      <c r="O13" s="45"/>
      <c r="P13" s="45"/>
      <c r="Q13" s="45"/>
      <c r="R13" s="45"/>
      <c r="S13" s="45"/>
      <c r="T13" s="45"/>
    </row>
    <row r="14" spans="1:26" ht="12.75" customHeight="1">
      <c r="A14" s="43" t="s">
        <v>12</v>
      </c>
      <c r="B14" s="43"/>
      <c r="C14" s="43"/>
      <c r="D14" s="43"/>
      <c r="E14" s="43"/>
      <c r="F14" s="43"/>
      <c r="G14" s="43"/>
      <c r="H14" s="43"/>
      <c r="I14" s="43"/>
      <c r="J14" s="43"/>
      <c r="K14" s="43"/>
      <c r="L14" s="43"/>
      <c r="M14" s="43"/>
      <c r="N14" s="43"/>
      <c r="O14" s="43"/>
      <c r="P14" s="43"/>
      <c r="Q14" s="43"/>
      <c r="R14" s="43"/>
      <c r="S14" s="43"/>
      <c r="T14" s="43"/>
    </row>
  </sheetData>
  <mergeCells count="10">
    <mergeCell ref="A1:Z1"/>
    <mergeCell ref="A8:T8"/>
    <mergeCell ref="A7:T7"/>
    <mergeCell ref="A6:T6"/>
    <mergeCell ref="A14:T14"/>
    <mergeCell ref="A13:T13"/>
    <mergeCell ref="A12:T12"/>
    <mergeCell ref="A11:T11"/>
    <mergeCell ref="A10:T10"/>
    <mergeCell ref="A9:T9"/>
  </mergeCells>
  <phoneticPr fontId="2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5"/>
  <sheetViews>
    <sheetView workbookViewId="0">
      <selection activeCell="A36" sqref="A36"/>
    </sheetView>
  </sheetViews>
  <sheetFormatPr baseColWidth="10" defaultColWidth="9.1640625" defaultRowHeight="15"/>
  <cols>
    <col min="1" max="1" width="31.83203125" style="1" bestFit="1" customWidth="1"/>
    <col min="2" max="17" width="9.33203125" style="1" customWidth="1"/>
    <col min="18" max="16384" width="9.1640625" style="1"/>
  </cols>
  <sheetData>
    <row r="1" spans="1:17" ht="16.5" customHeight="1" thickBot="1">
      <c r="A1" s="51" t="s">
        <v>13</v>
      </c>
      <c r="B1" s="51"/>
      <c r="C1" s="51"/>
      <c r="D1" s="51"/>
      <c r="E1" s="51"/>
      <c r="F1" s="51"/>
      <c r="G1" s="51"/>
      <c r="H1" s="51"/>
      <c r="I1" s="51"/>
      <c r="J1" s="51"/>
      <c r="K1" s="51"/>
      <c r="L1" s="51"/>
      <c r="M1" s="51"/>
      <c r="N1" s="51"/>
      <c r="O1" s="51"/>
      <c r="P1" s="51"/>
      <c r="Q1" s="51"/>
    </row>
    <row r="2" spans="1:17" ht="16.5" customHeight="1">
      <c r="A2" s="2"/>
      <c r="B2" s="3">
        <v>1999</v>
      </c>
      <c r="C2" s="3">
        <v>2000</v>
      </c>
      <c r="D2" s="3">
        <v>2001</v>
      </c>
      <c r="E2" s="3">
        <v>2002</v>
      </c>
      <c r="F2" s="3">
        <v>2003</v>
      </c>
      <c r="G2" s="3">
        <v>2004</v>
      </c>
      <c r="H2" s="3">
        <v>2005</v>
      </c>
      <c r="I2" s="3">
        <v>2006</v>
      </c>
      <c r="J2" s="3">
        <v>2007</v>
      </c>
      <c r="K2" s="3">
        <v>2008</v>
      </c>
      <c r="L2" s="3">
        <v>2009</v>
      </c>
      <c r="M2" s="31">
        <v>2010</v>
      </c>
      <c r="N2" s="31">
        <v>2011</v>
      </c>
      <c r="O2" s="31">
        <v>2012</v>
      </c>
      <c r="P2" s="20">
        <v>2013</v>
      </c>
      <c r="Q2" s="20">
        <v>2014</v>
      </c>
    </row>
    <row r="3" spans="1:17" ht="16.5" customHeight="1">
      <c r="A3" s="4" t="s">
        <v>14</v>
      </c>
      <c r="B3" s="5">
        <f>+B4+B5</f>
        <v>17</v>
      </c>
      <c r="C3" s="5">
        <f t="shared" ref="C3:Q3" si="0">+C4+C5</f>
        <v>9350</v>
      </c>
      <c r="D3" s="5">
        <f t="shared" si="0"/>
        <v>20282</v>
      </c>
      <c r="E3" s="5">
        <f t="shared" si="0"/>
        <v>22335</v>
      </c>
      <c r="F3" s="5">
        <f t="shared" si="0"/>
        <v>47566</v>
      </c>
      <c r="G3" s="5">
        <f t="shared" si="0"/>
        <v>84199</v>
      </c>
      <c r="H3" s="5">
        <f t="shared" si="0"/>
        <v>205828</v>
      </c>
      <c r="I3" s="5">
        <f t="shared" si="0"/>
        <v>253518</v>
      </c>
      <c r="J3" s="5">
        <f t="shared" si="0"/>
        <v>352862</v>
      </c>
      <c r="K3" s="5">
        <f t="shared" si="0"/>
        <v>315688</v>
      </c>
      <c r="L3" s="5">
        <f t="shared" si="0"/>
        <v>290740</v>
      </c>
      <c r="M3" s="17">
        <f t="shared" si="0"/>
        <v>274431</v>
      </c>
      <c r="N3" s="17">
        <f t="shared" si="0"/>
        <v>269178</v>
      </c>
      <c r="O3" s="17">
        <f t="shared" si="0"/>
        <v>470383</v>
      </c>
      <c r="P3" s="17">
        <f t="shared" si="0"/>
        <v>547097</v>
      </c>
      <c r="Q3" s="17">
        <f t="shared" si="0"/>
        <v>507272</v>
      </c>
    </row>
    <row r="4" spans="1:17" ht="16.5" customHeight="1">
      <c r="A4" s="6" t="s">
        <v>15</v>
      </c>
      <c r="B4" s="7">
        <v>0</v>
      </c>
      <c r="C4" s="7">
        <v>0</v>
      </c>
      <c r="D4" s="7">
        <v>0</v>
      </c>
      <c r="E4" s="7">
        <v>0</v>
      </c>
      <c r="F4" s="7">
        <v>0</v>
      </c>
      <c r="G4" s="7">
        <v>2993</v>
      </c>
      <c r="H4" s="7">
        <v>15960</v>
      </c>
      <c r="I4" s="7">
        <v>24198</v>
      </c>
      <c r="J4" s="7">
        <v>77629</v>
      </c>
      <c r="K4" s="7">
        <v>86082</v>
      </c>
      <c r="L4" s="7">
        <v>81882</v>
      </c>
      <c r="M4" s="18">
        <v>64893</v>
      </c>
      <c r="N4" s="18">
        <v>52356</v>
      </c>
      <c r="O4" s="18">
        <v>140126</v>
      </c>
      <c r="P4" s="18">
        <v>210413</v>
      </c>
      <c r="Q4" s="18">
        <v>206030</v>
      </c>
    </row>
    <row r="5" spans="1:17" ht="16.5" customHeight="1" thickBot="1">
      <c r="A5" s="2" t="s">
        <v>16</v>
      </c>
      <c r="B5" s="8">
        <v>17</v>
      </c>
      <c r="C5" s="8">
        <v>9350</v>
      </c>
      <c r="D5" s="8">
        <v>20282</v>
      </c>
      <c r="E5" s="8">
        <v>22335</v>
      </c>
      <c r="F5" s="8">
        <v>47566</v>
      </c>
      <c r="G5" s="8">
        <v>81206</v>
      </c>
      <c r="H5" s="8">
        <v>189868</v>
      </c>
      <c r="I5" s="8">
        <v>229320</v>
      </c>
      <c r="J5" s="8">
        <v>275233</v>
      </c>
      <c r="K5" s="8">
        <v>229606</v>
      </c>
      <c r="L5" s="8">
        <v>208858</v>
      </c>
      <c r="M5" s="33">
        <v>209538</v>
      </c>
      <c r="N5" s="33">
        <v>216822</v>
      </c>
      <c r="O5" s="34">
        <v>330257</v>
      </c>
      <c r="P5" s="34">
        <v>336684</v>
      </c>
      <c r="Q5" s="34">
        <v>301242</v>
      </c>
    </row>
    <row r="6" spans="1:17" ht="12.75" customHeight="1">
      <c r="A6" s="48" t="s">
        <v>17</v>
      </c>
      <c r="B6" s="48"/>
      <c r="C6" s="48"/>
      <c r="D6" s="48"/>
      <c r="E6" s="48"/>
      <c r="F6" s="48"/>
      <c r="G6" s="48"/>
      <c r="H6" s="48"/>
      <c r="I6" s="48"/>
      <c r="J6" s="48"/>
      <c r="K6" s="48"/>
      <c r="L6" s="48"/>
      <c r="M6" s="49"/>
      <c r="N6" s="49"/>
      <c r="O6" s="32"/>
    </row>
    <row r="7" spans="1:17" ht="12.75" customHeight="1">
      <c r="A7" s="43"/>
      <c r="B7" s="43"/>
      <c r="C7" s="43"/>
      <c r="D7" s="43"/>
      <c r="E7" s="43"/>
      <c r="F7" s="43"/>
      <c r="G7" s="43"/>
      <c r="H7" s="43"/>
      <c r="I7" s="43"/>
      <c r="J7" s="43"/>
      <c r="K7" s="43"/>
      <c r="L7" s="43"/>
      <c r="M7" s="50"/>
      <c r="N7" s="50"/>
      <c r="O7" s="7"/>
    </row>
    <row r="8" spans="1:17" ht="12.75" customHeight="1">
      <c r="A8" s="43" t="s">
        <v>18</v>
      </c>
      <c r="B8" s="43"/>
      <c r="C8" s="43"/>
      <c r="D8" s="43"/>
      <c r="E8" s="43"/>
      <c r="F8" s="43"/>
      <c r="G8" s="43"/>
      <c r="H8" s="43"/>
      <c r="I8" s="43"/>
      <c r="J8" s="43"/>
      <c r="K8" s="43"/>
      <c r="L8" s="43"/>
      <c r="M8" s="50"/>
      <c r="N8" s="50"/>
    </row>
    <row r="9" spans="1:17" ht="12.75" customHeight="1">
      <c r="A9" s="43" t="s">
        <v>19</v>
      </c>
      <c r="B9" s="43"/>
      <c r="C9" s="43"/>
      <c r="D9" s="43"/>
      <c r="E9" s="43"/>
      <c r="F9" s="43"/>
      <c r="G9" s="43"/>
      <c r="H9" s="43"/>
      <c r="I9" s="43"/>
      <c r="J9" s="43"/>
      <c r="K9" s="43"/>
      <c r="L9" s="43"/>
      <c r="M9" s="50"/>
      <c r="N9" s="50"/>
    </row>
    <row r="10" spans="1:17" ht="12.75" customHeight="1">
      <c r="A10" s="43"/>
      <c r="B10" s="43"/>
      <c r="C10" s="43"/>
      <c r="D10" s="43"/>
      <c r="E10" s="43"/>
      <c r="F10" s="43"/>
      <c r="G10" s="43"/>
      <c r="H10" s="43"/>
      <c r="I10" s="43"/>
      <c r="J10" s="43"/>
      <c r="K10" s="43"/>
      <c r="L10" s="43"/>
      <c r="M10" s="50"/>
      <c r="N10" s="50"/>
    </row>
    <row r="11" spans="1:17" ht="12.75" customHeight="1">
      <c r="A11" s="42" t="s">
        <v>7</v>
      </c>
      <c r="B11" s="43"/>
      <c r="C11" s="43"/>
      <c r="D11" s="43"/>
      <c r="E11" s="43"/>
      <c r="F11" s="43"/>
      <c r="G11" s="43"/>
      <c r="H11" s="43"/>
      <c r="I11" s="43"/>
      <c r="J11" s="43"/>
      <c r="K11" s="43"/>
      <c r="L11" s="43"/>
      <c r="M11" s="50"/>
      <c r="N11" s="50"/>
    </row>
    <row r="12" spans="1:17" ht="25.5" customHeight="1">
      <c r="A12" s="43" t="s">
        <v>20</v>
      </c>
      <c r="B12" s="43"/>
      <c r="C12" s="43"/>
      <c r="D12" s="43"/>
      <c r="E12" s="43"/>
      <c r="F12" s="43"/>
      <c r="G12" s="43"/>
      <c r="H12" s="43"/>
      <c r="I12" s="43"/>
      <c r="J12" s="43"/>
      <c r="K12" s="43"/>
      <c r="L12" s="43"/>
      <c r="M12" s="50"/>
      <c r="N12" s="50"/>
    </row>
    <row r="13" spans="1:17" ht="12.75" customHeight="1">
      <c r="A13" s="50"/>
      <c r="B13" s="50"/>
      <c r="C13" s="50"/>
      <c r="D13" s="50"/>
      <c r="E13" s="50"/>
      <c r="F13" s="50"/>
      <c r="G13" s="50"/>
      <c r="H13" s="50"/>
      <c r="I13" s="50"/>
      <c r="J13" s="50"/>
      <c r="K13" s="50"/>
      <c r="L13" s="50"/>
      <c r="M13" s="50"/>
      <c r="N13" s="50"/>
    </row>
    <row r="14" spans="1:17" ht="12.75" customHeight="1">
      <c r="A14" s="42" t="s">
        <v>11</v>
      </c>
      <c r="B14" s="43"/>
      <c r="C14" s="43"/>
      <c r="D14" s="43"/>
      <c r="E14" s="43"/>
      <c r="F14" s="43"/>
      <c r="G14" s="43"/>
      <c r="H14" s="43"/>
      <c r="I14" s="43"/>
      <c r="J14" s="43"/>
      <c r="K14" s="43"/>
      <c r="L14" s="43"/>
      <c r="M14" s="50"/>
      <c r="N14" s="50"/>
    </row>
    <row r="15" spans="1:17" ht="12.75" customHeight="1">
      <c r="A15" s="43" t="s">
        <v>21</v>
      </c>
      <c r="B15" s="43"/>
      <c r="C15" s="43"/>
      <c r="D15" s="43"/>
      <c r="E15" s="43"/>
      <c r="F15" s="43"/>
      <c r="G15" s="43"/>
      <c r="H15" s="43"/>
      <c r="I15" s="43"/>
      <c r="J15" s="43"/>
      <c r="K15" s="43"/>
      <c r="L15" s="43"/>
      <c r="M15" s="50"/>
      <c r="N15" s="50"/>
    </row>
  </sheetData>
  <mergeCells count="11">
    <mergeCell ref="A6:N6"/>
    <mergeCell ref="A7:N7"/>
    <mergeCell ref="A1:Q1"/>
    <mergeCell ref="A15:N15"/>
    <mergeCell ref="A8:N8"/>
    <mergeCell ref="A9:N9"/>
    <mergeCell ref="A10:N10"/>
    <mergeCell ref="A11:N11"/>
    <mergeCell ref="A12:N12"/>
    <mergeCell ref="A13:N13"/>
    <mergeCell ref="A14:N14"/>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10"/>
  <sheetViews>
    <sheetView workbookViewId="0">
      <selection activeCell="E35" sqref="E35"/>
    </sheetView>
  </sheetViews>
  <sheetFormatPr baseColWidth="10" defaultColWidth="9.1640625" defaultRowHeight="15"/>
  <cols>
    <col min="1" max="1" width="31.83203125" style="1" bestFit="1" customWidth="1"/>
    <col min="2" max="16384" width="9.1640625" style="1"/>
  </cols>
  <sheetData>
    <row r="1" spans="1:33" ht="16.5" customHeight="1" thickBot="1">
      <c r="A1" s="52" t="s">
        <v>13</v>
      </c>
      <c r="B1" s="52"/>
      <c r="C1" s="52"/>
      <c r="D1" s="52"/>
      <c r="E1" s="52"/>
      <c r="F1" s="52"/>
      <c r="G1" s="52"/>
      <c r="H1" s="52"/>
      <c r="I1" s="52"/>
      <c r="J1" s="52"/>
      <c r="K1" s="52"/>
      <c r="L1" s="52"/>
      <c r="M1" s="52"/>
      <c r="N1" s="52"/>
      <c r="O1" s="52"/>
      <c r="P1" s="52"/>
      <c r="Q1" s="52"/>
      <c r="S1" s="51" t="s">
        <v>13</v>
      </c>
      <c r="T1" s="51"/>
      <c r="U1" s="51"/>
      <c r="V1" s="51"/>
      <c r="W1" s="51"/>
      <c r="X1" s="51"/>
      <c r="Y1" s="51"/>
      <c r="Z1" s="51"/>
      <c r="AA1" s="51"/>
      <c r="AB1" s="51"/>
      <c r="AC1" s="51"/>
      <c r="AD1" s="51"/>
      <c r="AE1" s="51"/>
      <c r="AF1" s="51"/>
      <c r="AG1" s="51"/>
    </row>
    <row r="2" spans="1:33" ht="16.5" customHeight="1">
      <c r="A2" s="2"/>
      <c r="B2" s="3">
        <v>1999</v>
      </c>
      <c r="C2" s="3">
        <v>2000</v>
      </c>
      <c r="D2" s="3">
        <v>2001</v>
      </c>
      <c r="E2" s="3">
        <v>2002</v>
      </c>
      <c r="F2" s="3">
        <v>2003</v>
      </c>
      <c r="G2" s="3">
        <v>2004</v>
      </c>
      <c r="H2" s="3">
        <v>2005</v>
      </c>
      <c r="I2" s="3">
        <v>2006</v>
      </c>
      <c r="J2" s="3">
        <v>2007</v>
      </c>
      <c r="K2" s="3">
        <v>2008</v>
      </c>
      <c r="L2" s="3">
        <v>2009</v>
      </c>
      <c r="M2" s="31">
        <v>2010</v>
      </c>
      <c r="N2" s="31">
        <v>2011</v>
      </c>
      <c r="O2" s="31">
        <v>2012</v>
      </c>
      <c r="P2" s="20">
        <v>2013</v>
      </c>
      <c r="Q2" s="20">
        <v>2014</v>
      </c>
      <c r="S2" s="2"/>
      <c r="T2" s="3">
        <v>1999</v>
      </c>
      <c r="U2" s="3">
        <v>2000</v>
      </c>
      <c r="V2" s="3">
        <v>2001</v>
      </c>
      <c r="W2" s="3">
        <v>2002</v>
      </c>
      <c r="X2" s="3">
        <v>2003</v>
      </c>
      <c r="Y2" s="3">
        <v>2004</v>
      </c>
      <c r="Z2" s="3">
        <v>2005</v>
      </c>
      <c r="AA2" s="3">
        <v>2006</v>
      </c>
      <c r="AB2" s="3">
        <v>2007</v>
      </c>
      <c r="AC2" s="3">
        <v>2008</v>
      </c>
      <c r="AD2" s="3">
        <v>2009</v>
      </c>
      <c r="AE2" s="29">
        <v>2010</v>
      </c>
      <c r="AF2" s="29">
        <v>2011</v>
      </c>
      <c r="AG2" s="3">
        <v>2012</v>
      </c>
    </row>
    <row r="3" spans="1:33" ht="16.5" customHeight="1">
      <c r="A3" s="4" t="s">
        <v>14</v>
      </c>
      <c r="B3" s="5">
        <f>+B4+B5</f>
        <v>17</v>
      </c>
      <c r="C3" s="5">
        <f t="shared" ref="C3:Q3" si="0">+C4+C5</f>
        <v>9350</v>
      </c>
      <c r="D3" s="5">
        <f t="shared" si="0"/>
        <v>20282</v>
      </c>
      <c r="E3" s="5">
        <f t="shared" si="0"/>
        <v>22335</v>
      </c>
      <c r="F3" s="5">
        <f t="shared" si="0"/>
        <v>47566</v>
      </c>
      <c r="G3" s="5">
        <f t="shared" si="0"/>
        <v>84199</v>
      </c>
      <c r="H3" s="5">
        <f t="shared" si="0"/>
        <v>205828</v>
      </c>
      <c r="I3" s="5">
        <f t="shared" si="0"/>
        <v>253518</v>
      </c>
      <c r="J3" s="5">
        <f t="shared" si="0"/>
        <v>352862</v>
      </c>
      <c r="K3" s="5">
        <f t="shared" si="0"/>
        <v>315688</v>
      </c>
      <c r="L3" s="5">
        <f t="shared" si="0"/>
        <v>290740</v>
      </c>
      <c r="M3" s="17">
        <f t="shared" si="0"/>
        <v>274431</v>
      </c>
      <c r="N3" s="17">
        <f t="shared" si="0"/>
        <v>269178</v>
      </c>
      <c r="O3" s="17">
        <f t="shared" si="0"/>
        <v>470383</v>
      </c>
      <c r="P3" s="17">
        <f t="shared" si="0"/>
        <v>547097</v>
      </c>
      <c r="Q3" s="17">
        <f t="shared" si="0"/>
        <v>507272</v>
      </c>
      <c r="S3" s="4" t="s">
        <v>14</v>
      </c>
      <c r="T3" s="5">
        <f>+T4+T5</f>
        <v>17</v>
      </c>
      <c r="U3" s="5">
        <f t="shared" ref="U3:AG3" si="1">+U4+U5</f>
        <v>9350</v>
      </c>
      <c r="V3" s="5">
        <f t="shared" si="1"/>
        <v>20282</v>
      </c>
      <c r="W3" s="5">
        <f t="shared" si="1"/>
        <v>22335</v>
      </c>
      <c r="X3" s="5">
        <f t="shared" si="1"/>
        <v>47566</v>
      </c>
      <c r="Y3" s="5">
        <f t="shared" si="1"/>
        <v>84199</v>
      </c>
      <c r="Z3" s="5">
        <f t="shared" si="1"/>
        <v>205828</v>
      </c>
      <c r="AA3" s="5">
        <f t="shared" si="1"/>
        <v>253518</v>
      </c>
      <c r="AB3" s="5">
        <f t="shared" si="1"/>
        <v>352862</v>
      </c>
      <c r="AC3" s="5">
        <f t="shared" si="1"/>
        <v>315688</v>
      </c>
      <c r="AD3" s="5">
        <f t="shared" si="1"/>
        <v>290740</v>
      </c>
      <c r="AE3" s="5">
        <f t="shared" si="1"/>
        <v>274105</v>
      </c>
      <c r="AF3" s="5">
        <f t="shared" si="1"/>
        <v>261507</v>
      </c>
      <c r="AG3" s="5">
        <f t="shared" si="1"/>
        <v>431798</v>
      </c>
    </row>
    <row r="4" spans="1:33" ht="16.5" customHeight="1">
      <c r="A4" s="6" t="s">
        <v>15</v>
      </c>
      <c r="B4" s="7">
        <v>0</v>
      </c>
      <c r="C4" s="7">
        <v>0</v>
      </c>
      <c r="D4" s="7">
        <v>0</v>
      </c>
      <c r="E4" s="7">
        <v>0</v>
      </c>
      <c r="F4" s="7">
        <v>0</v>
      </c>
      <c r="G4" s="7">
        <v>2993</v>
      </c>
      <c r="H4" s="7">
        <v>15960</v>
      </c>
      <c r="I4" s="7">
        <v>24198</v>
      </c>
      <c r="J4" s="7">
        <v>77629</v>
      </c>
      <c r="K4" s="7">
        <v>86082</v>
      </c>
      <c r="L4" s="7">
        <v>81882</v>
      </c>
      <c r="M4" s="18">
        <v>64893</v>
      </c>
      <c r="N4" s="18">
        <v>52356</v>
      </c>
      <c r="O4" s="18">
        <v>140126</v>
      </c>
      <c r="P4" s="18">
        <v>210413</v>
      </c>
      <c r="Q4" s="18">
        <v>206030</v>
      </c>
      <c r="S4" s="6" t="s">
        <v>15</v>
      </c>
      <c r="T4" s="7">
        <v>0</v>
      </c>
      <c r="U4" s="7">
        <v>0</v>
      </c>
      <c r="V4" s="7">
        <v>0</v>
      </c>
      <c r="W4" s="7">
        <v>0</v>
      </c>
      <c r="X4" s="7">
        <v>0</v>
      </c>
      <c r="Y4" s="7">
        <v>2993</v>
      </c>
      <c r="Z4" s="7">
        <v>15960</v>
      </c>
      <c r="AA4" s="7">
        <v>24198</v>
      </c>
      <c r="AB4" s="7">
        <v>77629</v>
      </c>
      <c r="AC4" s="7">
        <v>86082</v>
      </c>
      <c r="AD4" s="7">
        <v>81882</v>
      </c>
      <c r="AE4" s="7">
        <v>64567</v>
      </c>
      <c r="AF4" s="7">
        <v>44685</v>
      </c>
      <c r="AG4" s="7">
        <v>114291</v>
      </c>
    </row>
    <row r="5" spans="1:33" ht="16.5" customHeight="1">
      <c r="A5" s="2" t="s">
        <v>16</v>
      </c>
      <c r="B5" s="8">
        <v>17</v>
      </c>
      <c r="C5" s="8">
        <v>9350</v>
      </c>
      <c r="D5" s="8">
        <v>20282</v>
      </c>
      <c r="E5" s="8">
        <v>22335</v>
      </c>
      <c r="F5" s="8">
        <v>47566</v>
      </c>
      <c r="G5" s="8">
        <v>81206</v>
      </c>
      <c r="H5" s="8">
        <v>189868</v>
      </c>
      <c r="I5" s="8">
        <v>229320</v>
      </c>
      <c r="J5" s="8">
        <v>275233</v>
      </c>
      <c r="K5" s="8">
        <v>229606</v>
      </c>
      <c r="L5" s="8">
        <v>208858</v>
      </c>
      <c r="M5" s="8">
        <v>209538</v>
      </c>
      <c r="N5" s="8">
        <v>216822</v>
      </c>
      <c r="O5" s="19">
        <v>330257</v>
      </c>
      <c r="P5" s="19">
        <v>336684</v>
      </c>
      <c r="Q5" s="19">
        <v>301242</v>
      </c>
      <c r="S5" s="2" t="s">
        <v>16</v>
      </c>
      <c r="T5" s="8">
        <v>17</v>
      </c>
      <c r="U5" s="8">
        <v>9350</v>
      </c>
      <c r="V5" s="8">
        <v>20282</v>
      </c>
      <c r="W5" s="8">
        <v>22335</v>
      </c>
      <c r="X5" s="8">
        <v>47566</v>
      </c>
      <c r="Y5" s="8">
        <v>81206</v>
      </c>
      <c r="Z5" s="8">
        <v>189868</v>
      </c>
      <c r="AA5" s="8">
        <v>229320</v>
      </c>
      <c r="AB5" s="8">
        <v>275233</v>
      </c>
      <c r="AC5" s="8">
        <v>229606</v>
      </c>
      <c r="AD5" s="8">
        <v>208858</v>
      </c>
      <c r="AE5" s="8">
        <v>209538</v>
      </c>
      <c r="AF5" s="8">
        <v>216822</v>
      </c>
      <c r="AG5" s="7">
        <v>317507</v>
      </c>
    </row>
    <row r="7" spans="1:33">
      <c r="B7" s="1" t="b">
        <f>B3=T3</f>
        <v>1</v>
      </c>
      <c r="C7" s="1" t="b">
        <f t="shared" ref="C7:Q9" si="2">C3=U3</f>
        <v>1</v>
      </c>
      <c r="D7" s="1" t="b">
        <f t="shared" si="2"/>
        <v>1</v>
      </c>
      <c r="E7" s="1" t="b">
        <f t="shared" si="2"/>
        <v>1</v>
      </c>
      <c r="F7" s="1" t="b">
        <f t="shared" si="2"/>
        <v>1</v>
      </c>
      <c r="G7" s="1" t="b">
        <f t="shared" si="2"/>
        <v>1</v>
      </c>
      <c r="H7" s="1" t="b">
        <f t="shared" si="2"/>
        <v>1</v>
      </c>
      <c r="I7" s="1" t="b">
        <f t="shared" si="2"/>
        <v>1</v>
      </c>
      <c r="J7" s="1" t="b">
        <f t="shared" si="2"/>
        <v>1</v>
      </c>
      <c r="K7" s="1" t="b">
        <f t="shared" si="2"/>
        <v>1</v>
      </c>
      <c r="L7" s="1" t="b">
        <f t="shared" si="2"/>
        <v>1</v>
      </c>
      <c r="M7" s="30" t="b">
        <f t="shared" si="2"/>
        <v>0</v>
      </c>
      <c r="N7" s="30" t="b">
        <f t="shared" si="2"/>
        <v>0</v>
      </c>
      <c r="O7" s="30" t="b">
        <f t="shared" si="2"/>
        <v>0</v>
      </c>
      <c r="P7" s="30" t="b">
        <f t="shared" si="2"/>
        <v>0</v>
      </c>
      <c r="Q7" s="30" t="b">
        <f t="shared" si="2"/>
        <v>0</v>
      </c>
    </row>
    <row r="8" spans="1:33">
      <c r="B8" s="1" t="b">
        <f t="shared" ref="B8:B9" si="3">B4=T4</f>
        <v>1</v>
      </c>
      <c r="C8" s="1" t="b">
        <f t="shared" si="2"/>
        <v>1</v>
      </c>
      <c r="D8" s="1" t="b">
        <f t="shared" si="2"/>
        <v>1</v>
      </c>
      <c r="E8" s="1" t="b">
        <f t="shared" si="2"/>
        <v>1</v>
      </c>
      <c r="F8" s="1" t="b">
        <f t="shared" si="2"/>
        <v>1</v>
      </c>
      <c r="G8" s="1" t="b">
        <f t="shared" si="2"/>
        <v>1</v>
      </c>
      <c r="H8" s="1" t="b">
        <f t="shared" si="2"/>
        <v>1</v>
      </c>
      <c r="I8" s="1" t="b">
        <f t="shared" si="2"/>
        <v>1</v>
      </c>
      <c r="J8" s="1" t="b">
        <f t="shared" si="2"/>
        <v>1</v>
      </c>
      <c r="K8" s="1" t="b">
        <f t="shared" si="2"/>
        <v>1</v>
      </c>
      <c r="L8" s="1" t="b">
        <f t="shared" si="2"/>
        <v>1</v>
      </c>
      <c r="M8" s="30" t="b">
        <f t="shared" si="2"/>
        <v>0</v>
      </c>
      <c r="N8" s="30" t="b">
        <f t="shared" si="2"/>
        <v>0</v>
      </c>
      <c r="O8" s="30" t="b">
        <f t="shared" si="2"/>
        <v>0</v>
      </c>
      <c r="P8" s="30" t="b">
        <f t="shared" si="2"/>
        <v>0</v>
      </c>
      <c r="Q8" s="30" t="b">
        <f t="shared" si="2"/>
        <v>0</v>
      </c>
    </row>
    <row r="9" spans="1:33">
      <c r="B9" s="1" t="b">
        <f t="shared" si="3"/>
        <v>1</v>
      </c>
      <c r="C9" s="1" t="b">
        <f t="shared" si="2"/>
        <v>1</v>
      </c>
      <c r="D9" s="1" t="b">
        <f t="shared" si="2"/>
        <v>1</v>
      </c>
      <c r="E9" s="1" t="b">
        <f t="shared" si="2"/>
        <v>1</v>
      </c>
      <c r="F9" s="1" t="b">
        <f t="shared" si="2"/>
        <v>1</v>
      </c>
      <c r="G9" s="1" t="b">
        <f t="shared" si="2"/>
        <v>1</v>
      </c>
      <c r="H9" s="1" t="b">
        <f t="shared" si="2"/>
        <v>1</v>
      </c>
      <c r="I9" s="1" t="b">
        <f t="shared" si="2"/>
        <v>1</v>
      </c>
      <c r="J9" s="1" t="b">
        <f t="shared" si="2"/>
        <v>1</v>
      </c>
      <c r="K9" s="1" t="b">
        <f t="shared" si="2"/>
        <v>1</v>
      </c>
      <c r="L9" s="1" t="b">
        <f t="shared" si="2"/>
        <v>1</v>
      </c>
      <c r="M9" s="1" t="b">
        <f t="shared" si="2"/>
        <v>1</v>
      </c>
      <c r="N9" s="1" t="b">
        <f t="shared" si="2"/>
        <v>1</v>
      </c>
      <c r="O9" s="30" t="b">
        <f t="shared" si="2"/>
        <v>0</v>
      </c>
      <c r="P9" s="30" t="b">
        <f t="shared" si="2"/>
        <v>0</v>
      </c>
      <c r="Q9" s="30" t="b">
        <f t="shared" si="2"/>
        <v>0</v>
      </c>
    </row>
    <row r="10" spans="1:33">
      <c r="K10" s="16"/>
      <c r="L10" s="16"/>
      <c r="M10" s="16"/>
      <c r="N10" s="16"/>
      <c r="O10" s="16"/>
    </row>
  </sheetData>
  <mergeCells count="2">
    <mergeCell ref="S1:AG1"/>
    <mergeCell ref="A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7"/>
  <sheetViews>
    <sheetView workbookViewId="0">
      <selection activeCell="C33" sqref="C33"/>
    </sheetView>
  </sheetViews>
  <sheetFormatPr baseColWidth="10" defaultColWidth="9.1640625" defaultRowHeight="15"/>
  <cols>
    <col min="1" max="1" width="14" style="11" customWidth="1"/>
    <col min="2" max="6" width="7.33203125" customWidth="1"/>
  </cols>
  <sheetData>
    <row r="1" spans="1:8">
      <c r="A1" s="21" t="s">
        <v>22</v>
      </c>
    </row>
    <row r="2" spans="1:8">
      <c r="A2" s="21" t="s">
        <v>23</v>
      </c>
    </row>
    <row r="3" spans="1:8">
      <c r="A3" s="21" t="s">
        <v>24</v>
      </c>
    </row>
    <row r="4" spans="1:8">
      <c r="A4" s="21" t="s">
        <v>25</v>
      </c>
    </row>
    <row r="5" spans="1:8">
      <c r="A5" s="22"/>
    </row>
    <row r="6" spans="1:8">
      <c r="A6" s="23" t="s">
        <v>26</v>
      </c>
    </row>
    <row r="7" spans="1:8">
      <c r="A7" s="23" t="s">
        <v>27</v>
      </c>
    </row>
    <row r="8" spans="1:8">
      <c r="A8" s="23"/>
    </row>
    <row r="9" spans="1:8">
      <c r="A9" s="23" t="s">
        <v>28</v>
      </c>
    </row>
    <row r="10" spans="1:8">
      <c r="A10" s="23" t="s">
        <v>29</v>
      </c>
    </row>
    <row r="11" spans="1:8">
      <c r="A11" s="23"/>
    </row>
    <row r="12" spans="1:8">
      <c r="A12" s="24" t="s">
        <v>30</v>
      </c>
      <c r="B12" s="25">
        <v>2008</v>
      </c>
      <c r="C12" s="25">
        <v>2009</v>
      </c>
      <c r="D12" s="25">
        <v>2010</v>
      </c>
      <c r="E12" s="25">
        <v>2011</v>
      </c>
      <c r="F12" s="25">
        <v>2012</v>
      </c>
      <c r="G12" s="25">
        <v>2013</v>
      </c>
      <c r="H12" s="25">
        <v>2014</v>
      </c>
    </row>
    <row r="13" spans="1:8">
      <c r="A13" s="26" t="s">
        <v>31</v>
      </c>
      <c r="B13" s="27">
        <v>86082</v>
      </c>
      <c r="C13" s="27">
        <v>81882</v>
      </c>
      <c r="D13" s="27">
        <v>64893</v>
      </c>
      <c r="E13" s="27">
        <v>52356</v>
      </c>
      <c r="F13" s="27">
        <v>140126</v>
      </c>
      <c r="G13" s="27">
        <v>210413</v>
      </c>
      <c r="H13" s="27">
        <v>206030</v>
      </c>
    </row>
    <row r="14" spans="1:8">
      <c r="A14" s="26" t="s">
        <v>32</v>
      </c>
      <c r="B14" s="27">
        <v>229606</v>
      </c>
      <c r="C14" s="27">
        <v>208858</v>
      </c>
      <c r="D14" s="27">
        <v>209538</v>
      </c>
      <c r="E14" s="27">
        <v>216822</v>
      </c>
      <c r="F14" s="27">
        <v>330257</v>
      </c>
      <c r="G14" s="27">
        <v>336684</v>
      </c>
      <c r="H14" s="27">
        <v>301242</v>
      </c>
    </row>
    <row r="15" spans="1:8">
      <c r="A15" s="24" t="s">
        <v>33</v>
      </c>
      <c r="B15" s="28">
        <v>315688</v>
      </c>
      <c r="C15" s="28">
        <v>290740</v>
      </c>
      <c r="D15" s="28">
        <v>274431</v>
      </c>
      <c r="E15" s="28">
        <v>269178</v>
      </c>
      <c r="F15" s="28">
        <v>470383</v>
      </c>
      <c r="G15" s="28">
        <v>547097</v>
      </c>
      <c r="H15" s="28">
        <v>507272</v>
      </c>
    </row>
    <row r="19" spans="1:9" ht="18">
      <c r="A19" s="9" t="s">
        <v>34</v>
      </c>
      <c r="B19" s="10"/>
      <c r="C19" s="10"/>
      <c r="D19" s="10"/>
      <c r="E19" s="10"/>
      <c r="F19" s="10"/>
      <c r="G19" s="11"/>
      <c r="H19" s="11"/>
      <c r="I19" s="11"/>
    </row>
    <row r="20" spans="1:9">
      <c r="A20" s="12"/>
      <c r="B20" s="12"/>
      <c r="C20" s="12"/>
      <c r="D20" s="12"/>
      <c r="E20" s="12"/>
      <c r="F20" s="12"/>
      <c r="G20" s="11"/>
      <c r="H20" s="11"/>
      <c r="I20" s="11"/>
    </row>
    <row r="21" spans="1:9">
      <c r="A21" s="10" t="s">
        <v>30</v>
      </c>
      <c r="B21" s="13" t="s">
        <v>35</v>
      </c>
      <c r="C21" s="13" t="s">
        <v>36</v>
      </c>
      <c r="D21" s="13" t="s">
        <v>37</v>
      </c>
      <c r="E21" s="13" t="s">
        <v>38</v>
      </c>
      <c r="F21" s="13" t="s">
        <v>39</v>
      </c>
      <c r="G21" s="11"/>
      <c r="H21" s="11"/>
      <c r="I21" s="11"/>
    </row>
    <row r="22" spans="1:9">
      <c r="A22" s="12" t="s">
        <v>31</v>
      </c>
      <c r="B22" s="12">
        <v>86082</v>
      </c>
      <c r="C22" s="12">
        <v>81882</v>
      </c>
      <c r="D22" s="12">
        <v>64567</v>
      </c>
      <c r="E22" s="12">
        <v>44685</v>
      </c>
      <c r="F22" s="12">
        <v>114291</v>
      </c>
      <c r="G22" s="11"/>
      <c r="H22" s="11"/>
      <c r="I22" s="11"/>
    </row>
    <row r="23" spans="1:9">
      <c r="A23" s="12" t="s">
        <v>32</v>
      </c>
      <c r="B23" s="12">
        <v>229606</v>
      </c>
      <c r="C23" s="12">
        <v>208858</v>
      </c>
      <c r="D23" s="12">
        <v>209538</v>
      </c>
      <c r="E23" s="12">
        <v>216822</v>
      </c>
      <c r="F23" s="12">
        <v>317507</v>
      </c>
      <c r="G23" s="11"/>
      <c r="H23" s="11"/>
      <c r="I23" s="11"/>
    </row>
    <row r="24" spans="1:9">
      <c r="A24" s="10" t="s">
        <v>33</v>
      </c>
      <c r="B24" s="10">
        <v>315688</v>
      </c>
      <c r="C24" s="10">
        <v>290740</v>
      </c>
      <c r="D24" s="10">
        <v>274105</v>
      </c>
      <c r="E24" s="10">
        <v>261507</v>
      </c>
      <c r="F24" s="10">
        <v>431798</v>
      </c>
      <c r="G24" s="14"/>
      <c r="H24" s="14"/>
      <c r="I24" s="14"/>
    </row>
    <row r="25" spans="1:9">
      <c r="B25" s="11"/>
      <c r="C25" s="11"/>
      <c r="D25" s="11"/>
      <c r="E25" s="11"/>
      <c r="F25" s="11"/>
      <c r="G25" s="11"/>
      <c r="H25" s="11"/>
      <c r="I25" s="11"/>
    </row>
    <row r="26" spans="1:9">
      <c r="A26" s="15" t="s">
        <v>40</v>
      </c>
      <c r="B26" s="11"/>
      <c r="C26" s="11"/>
      <c r="D26" s="11"/>
      <c r="E26" s="11"/>
      <c r="F26" s="11"/>
      <c r="G26" s="11"/>
      <c r="H26" s="11"/>
      <c r="I26" s="11"/>
    </row>
    <row r="27" spans="1:9">
      <c r="A27" s="15" t="s">
        <v>41</v>
      </c>
      <c r="B27" s="11"/>
      <c r="C27" s="11"/>
      <c r="D27" s="11"/>
      <c r="E27" s="11"/>
      <c r="F27" s="11"/>
      <c r="G27" s="11"/>
      <c r="H27" s="11"/>
      <c r="I27"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Graph</vt:lpstr>
      <vt:lpstr>1-19</vt:lpstr>
      <vt:lpstr>1-19(old)</vt:lpstr>
      <vt:lpstr>working(o)</vt:lpstr>
      <vt:lpstr>PC</vt:lpstr>
    </vt:vector>
  </TitlesOfParts>
  <Manager/>
  <Company>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hilary.ross.ctr</dc:creator>
  <cp:keywords/>
  <dc:description/>
  <cp:lastModifiedBy>Smylie, Bella D</cp:lastModifiedBy>
  <cp:revision/>
  <dcterms:created xsi:type="dcterms:W3CDTF">2010-03-30T18:36:41Z</dcterms:created>
  <dcterms:modified xsi:type="dcterms:W3CDTF">2026-02-09T23:04:46Z</dcterms:modified>
  <cp:category/>
  <cp:contentStatus/>
</cp:coreProperties>
</file>